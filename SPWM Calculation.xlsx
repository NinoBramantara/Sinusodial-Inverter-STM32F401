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nusodial-Inverter-STM32F401\"/>
    </mc:Choice>
  </mc:AlternateContent>
  <xr:revisionPtr revIDLastSave="0" documentId="8_{D30FDCCD-FBDA-4401-A3A3-1722E9ADCABB}" xr6:coauthVersionLast="47" xr6:coauthVersionMax="47" xr10:uidLastSave="{00000000-0000-0000-0000-000000000000}"/>
  <bookViews>
    <workbookView xWindow="-120" yWindow="-120" windowWidth="29040" windowHeight="16440" activeTab="1" xr2:uid="{8F49B018-BF72-45A5-9A54-F5DB9722BA5C}"/>
  </bookViews>
  <sheets>
    <sheet name="Sheet1" sheetId="1" r:id="rId1"/>
    <sheet name="Sheet2" sheetId="2" r:id="rId2"/>
  </sheets>
  <definedNames>
    <definedName name="_xlchart.v1.0" hidden="1">Sheet2!$D$11:$D$36</definedName>
    <definedName name="_xlchart.v1.1" hidden="1">Sheet2!$D$11:$D$36</definedName>
    <definedName name="_xlchart.v1.2" hidden="1">Sheet2!$D$11:$D$36</definedName>
    <definedName name="_xlchart.v1.3" hidden="1">Sheet2!$D$11:$D$36</definedName>
    <definedName name="_xlchart.v1.4" hidden="1">Sheet2!$D$11:$D$36</definedName>
    <definedName name="_xlchart.v1.5" hidden="1">Sheet2!$D$11:$D$36</definedName>
    <definedName name="_xlchart.v1.6" hidden="1">Sheet2!$D$11:$D$36</definedName>
    <definedName name="_xlchart.v1.7" hidden="1">Sheet2!$D$11:$D$36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B4" i="2"/>
  <c r="H19" i="2"/>
  <c r="H18" i="2"/>
  <c r="H14" i="2"/>
  <c r="H13" i="2"/>
  <c r="B1" i="2"/>
  <c r="B5" i="2"/>
  <c r="B6" i="2" s="1"/>
  <c r="F22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9" i="1"/>
  <c r="E2" i="1"/>
  <c r="B10" i="1"/>
  <c r="C10" i="1"/>
  <c r="E1" i="1"/>
  <c r="D36" i="1"/>
  <c r="D22" i="1"/>
  <c r="C12" i="1"/>
  <c r="C9" i="1"/>
  <c r="C11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9" i="1"/>
  <c r="B7" i="1"/>
  <c r="B5" i="1"/>
  <c r="B16" i="2" l="1"/>
  <c r="C16" i="2" s="1"/>
  <c r="B28" i="2"/>
  <c r="C28" i="2" s="1"/>
  <c r="B40" i="2"/>
  <c r="C40" i="2" s="1"/>
  <c r="D40" i="2" s="1"/>
  <c r="B52" i="2"/>
  <c r="C52" i="2" s="1"/>
  <c r="D52" i="2" s="1"/>
  <c r="B17" i="2"/>
  <c r="C17" i="2" s="1"/>
  <c r="B29" i="2"/>
  <c r="C29" i="2" s="1"/>
  <c r="D29" i="2" s="1"/>
  <c r="B41" i="2"/>
  <c r="C41" i="2" s="1"/>
  <c r="D41" i="2" s="1"/>
  <c r="B53" i="2"/>
  <c r="C53" i="2" s="1"/>
  <c r="D53" i="2" s="1"/>
  <c r="B18" i="2"/>
  <c r="C18" i="2" s="1"/>
  <c r="D18" i="2" s="1"/>
  <c r="B30" i="2"/>
  <c r="C30" i="2" s="1"/>
  <c r="D30" i="2" s="1"/>
  <c r="B42" i="2"/>
  <c r="C42" i="2" s="1"/>
  <c r="D42" i="2" s="1"/>
  <c r="B54" i="2"/>
  <c r="C54" i="2" s="1"/>
  <c r="D54" i="2" s="1"/>
  <c r="B19" i="2"/>
  <c r="C19" i="2" s="1"/>
  <c r="B31" i="2"/>
  <c r="C31" i="2" s="1"/>
  <c r="D31" i="2" s="1"/>
  <c r="B43" i="2"/>
  <c r="C43" i="2" s="1"/>
  <c r="D43" i="2" s="1"/>
  <c r="B55" i="2"/>
  <c r="C55" i="2" s="1"/>
  <c r="D55" i="2" s="1"/>
  <c r="B20" i="2"/>
  <c r="C20" i="2" s="1"/>
  <c r="B32" i="2"/>
  <c r="C32" i="2" s="1"/>
  <c r="D32" i="2" s="1"/>
  <c r="B44" i="2"/>
  <c r="C44" i="2" s="1"/>
  <c r="D44" i="2" s="1"/>
  <c r="B56" i="2"/>
  <c r="C56" i="2" s="1"/>
  <c r="D56" i="2" s="1"/>
  <c r="B21" i="2"/>
  <c r="C21" i="2" s="1"/>
  <c r="D21" i="2" s="1"/>
  <c r="B33" i="2"/>
  <c r="C33" i="2" s="1"/>
  <c r="D33" i="2" s="1"/>
  <c r="B45" i="2"/>
  <c r="C45" i="2" s="1"/>
  <c r="D45" i="2" s="1"/>
  <c r="B57" i="2"/>
  <c r="C57" i="2" s="1"/>
  <c r="D57" i="2" s="1"/>
  <c r="B22" i="2"/>
  <c r="C22" i="2" s="1"/>
  <c r="B34" i="2"/>
  <c r="C34" i="2" s="1"/>
  <c r="B46" i="2"/>
  <c r="C46" i="2" s="1"/>
  <c r="D46" i="2" s="1"/>
  <c r="B58" i="2"/>
  <c r="C58" i="2" s="1"/>
  <c r="B23" i="2"/>
  <c r="C23" i="2" s="1"/>
  <c r="D23" i="2" s="1"/>
  <c r="B35" i="2"/>
  <c r="C35" i="2" s="1"/>
  <c r="D35" i="2" s="1"/>
  <c r="B47" i="2"/>
  <c r="C47" i="2" s="1"/>
  <c r="D47" i="2" s="1"/>
  <c r="B59" i="2"/>
  <c r="C59" i="2" s="1"/>
  <c r="D59" i="2" s="1"/>
  <c r="B24" i="2"/>
  <c r="C24" i="2" s="1"/>
  <c r="D24" i="2" s="1"/>
  <c r="B26" i="2"/>
  <c r="C26" i="2" s="1"/>
  <c r="D26" i="2" s="1"/>
  <c r="B11" i="2"/>
  <c r="C11" i="2" s="1"/>
  <c r="D11" i="2" s="1"/>
  <c r="B61" i="2"/>
  <c r="C61" i="2" s="1"/>
  <c r="D61" i="2" s="1"/>
  <c r="B60" i="2"/>
  <c r="C60" i="2" s="1"/>
  <c r="B51" i="2"/>
  <c r="C51" i="2" s="1"/>
  <c r="B15" i="2"/>
  <c r="C15" i="2" s="1"/>
  <c r="B50" i="2"/>
  <c r="C50" i="2" s="1"/>
  <c r="D50" i="2" s="1"/>
  <c r="B13" i="2"/>
  <c r="C13" i="2" s="1"/>
  <c r="D13" i="2" s="1"/>
  <c r="B38" i="2"/>
  <c r="C38" i="2" s="1"/>
  <c r="D38" i="2" s="1"/>
  <c r="B37" i="2"/>
  <c r="C37" i="2" s="1"/>
  <c r="D37" i="2" s="1"/>
  <c r="B27" i="2"/>
  <c r="C27" i="2" s="1"/>
  <c r="D27" i="2" s="1"/>
  <c r="B25" i="2"/>
  <c r="C25" i="2" s="1"/>
  <c r="D25" i="2" s="1"/>
  <c r="B14" i="2"/>
  <c r="C14" i="2" s="1"/>
  <c r="D14" i="2" s="1"/>
  <c r="B49" i="2"/>
  <c r="C49" i="2" s="1"/>
  <c r="D49" i="2" s="1"/>
  <c r="B48" i="2"/>
  <c r="C48" i="2" s="1"/>
  <c r="D48" i="2" s="1"/>
  <c r="B12" i="2"/>
  <c r="C12" i="2" s="1"/>
  <c r="B39" i="2"/>
  <c r="C39" i="2" s="1"/>
  <c r="D12" i="2"/>
  <c r="D15" i="2"/>
  <c r="D16" i="2"/>
  <c r="D17" i="2"/>
  <c r="D19" i="2"/>
  <c r="D20" i="2"/>
  <c r="D22" i="2"/>
  <c r="D34" i="2"/>
  <c r="D58" i="2"/>
  <c r="D36" i="2"/>
  <c r="D60" i="2"/>
  <c r="D39" i="2"/>
  <c r="D51" i="2"/>
  <c r="D28" i="2"/>
  <c r="B36" i="2"/>
  <c r="C36" i="2" s="1"/>
  <c r="H10" i="2" l="1"/>
  <c r="I10" i="2" s="1"/>
  <c r="H11" i="2"/>
</calcChain>
</file>

<file path=xl/sharedStrings.xml><?xml version="1.0" encoding="utf-8"?>
<sst xmlns="http://schemas.openxmlformats.org/spreadsheetml/2006/main" count="29" uniqueCount="26">
  <si>
    <t>F carrier</t>
  </si>
  <si>
    <t>F ac</t>
  </si>
  <si>
    <t xml:space="preserve">Sample </t>
  </si>
  <si>
    <t>rad val</t>
  </si>
  <si>
    <t>sineVal</t>
  </si>
  <si>
    <t>sin func input</t>
  </si>
  <si>
    <t>Mid point</t>
  </si>
  <si>
    <t>Full circle point</t>
  </si>
  <si>
    <t>Fosc</t>
  </si>
  <si>
    <t>Duty Cycle</t>
  </si>
  <si>
    <t>Period ac</t>
  </si>
  <si>
    <t>Fcarrier</t>
  </si>
  <si>
    <t xml:space="preserve">Fac </t>
  </si>
  <si>
    <t>Samples</t>
  </si>
  <si>
    <t>Counter Period</t>
  </si>
  <si>
    <t>Rad value</t>
  </si>
  <si>
    <t>Sample</t>
  </si>
  <si>
    <t>Sine output</t>
  </si>
  <si>
    <t>Sine Input</t>
  </si>
  <si>
    <t>F PWM</t>
  </si>
  <si>
    <t>Fac</t>
  </si>
  <si>
    <t>Period PWM</t>
  </si>
  <si>
    <t>Largest Duty Cycle</t>
  </si>
  <si>
    <t>Largest N Duty Cycle</t>
  </si>
  <si>
    <t>Period per sample</t>
  </si>
  <si>
    <t>800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</si>
</sst>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Sheet1!$E$9:$E$34</c:f>
              <c:numCache>
                <c:formatCode>General</c:formatCode>
                <c:ptCount val="26"/>
                <c:pt idx="0">
                  <c:v>0</c:v>
                </c:pt>
                <c:pt idx="1">
                  <c:v>835.59802087391211</c:v>
                </c:pt>
                <c:pt idx="2">
                  <c:v>1618.6923449817634</c:v>
                </c:pt>
                <c:pt idx="3">
                  <c:v>2300.0782759203939</c:v>
                </c:pt>
                <c:pt idx="4">
                  <c:v>2836.9418296867707</c:v>
                </c:pt>
                <c:pt idx="5">
                  <c:v>3195.5498947517158</c:v>
                </c:pt>
                <c:pt idx="6">
                  <c:v>3353.3698075189923</c:v>
                </c:pt>
                <c:pt idx="7">
                  <c:v>3300.485162448394</c:v>
                </c:pt>
                <c:pt idx="8">
                  <c:v>3040.2188962858254</c:v>
                </c:pt>
                <c:pt idx="9">
                  <c:v>2588.9244957266519</c:v>
                </c:pt>
                <c:pt idx="10">
                  <c:v>1974.9584477027101</c:v>
                </c:pt>
                <c:pt idx="11">
                  <c:v>1236.8984970205172</c:v>
                </c:pt>
                <c:pt idx="12">
                  <c:v>421.11966477606177</c:v>
                </c:pt>
                <c:pt idx="13">
                  <c:v>-421.11966477606239</c:v>
                </c:pt>
                <c:pt idx="14">
                  <c:v>-1236.8984970205179</c:v>
                </c:pt>
                <c:pt idx="15">
                  <c:v>-1974.9584477027106</c:v>
                </c:pt>
                <c:pt idx="16">
                  <c:v>-2588.9244957266524</c:v>
                </c:pt>
                <c:pt idx="17">
                  <c:v>-3040.2188962858249</c:v>
                </c:pt>
                <c:pt idx="18">
                  <c:v>-3300.485162448394</c:v>
                </c:pt>
                <c:pt idx="19">
                  <c:v>-3353.3698075189923</c:v>
                </c:pt>
                <c:pt idx="20">
                  <c:v>-3195.5498947517162</c:v>
                </c:pt>
                <c:pt idx="21">
                  <c:v>-2836.9418296867702</c:v>
                </c:pt>
                <c:pt idx="22">
                  <c:v>-2300.0782759203926</c:v>
                </c:pt>
                <c:pt idx="23">
                  <c:v>-1618.6923449817634</c:v>
                </c:pt>
                <c:pt idx="24">
                  <c:v>-835.59802087391108</c:v>
                </c:pt>
                <c:pt idx="25">
                  <c:v>-8.2329976169859265E-13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6-434A-A38C-55363E6F9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74272"/>
        <c:axId val="84775232"/>
      </c:barChart>
      <c:catAx>
        <c:axId val="84774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5232"/>
        <c:crosses val="autoZero"/>
        <c:auto val="1"/>
        <c:lblAlgn val="ctr"/>
        <c:lblOffset val="100"/>
        <c:noMultiLvlLbl val="0"/>
      </c:catAx>
      <c:valAx>
        <c:axId val="8477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Sine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Sheet2!$C$11:$C$61</c:f>
              <c:numCache>
                <c:formatCode>General</c:formatCode>
                <c:ptCount val="51"/>
                <c:pt idx="0">
                  <c:v>0</c:v>
                </c:pt>
                <c:pt idx="1">
                  <c:v>0.12533323356430426</c:v>
                </c:pt>
                <c:pt idx="2">
                  <c:v>0.24868988716485479</c:v>
                </c:pt>
                <c:pt idx="3">
                  <c:v>0.36812455268467797</c:v>
                </c:pt>
                <c:pt idx="4">
                  <c:v>0.48175367410171532</c:v>
                </c:pt>
                <c:pt idx="5">
                  <c:v>0.58778525229247314</c:v>
                </c:pt>
                <c:pt idx="6">
                  <c:v>0.68454710592868873</c:v>
                </c:pt>
                <c:pt idx="7">
                  <c:v>0.77051324277578925</c:v>
                </c:pt>
                <c:pt idx="8">
                  <c:v>0.84432792550201508</c:v>
                </c:pt>
                <c:pt idx="9">
                  <c:v>0.90482705246601958</c:v>
                </c:pt>
                <c:pt idx="10">
                  <c:v>0.95105651629515353</c:v>
                </c:pt>
                <c:pt idx="11">
                  <c:v>0.98228725072868872</c:v>
                </c:pt>
                <c:pt idx="12">
                  <c:v>0.99802672842827156</c:v>
                </c:pt>
                <c:pt idx="13">
                  <c:v>0.99802672842827156</c:v>
                </c:pt>
                <c:pt idx="14">
                  <c:v>0.98228725072868872</c:v>
                </c:pt>
                <c:pt idx="15">
                  <c:v>0.95105651629515353</c:v>
                </c:pt>
                <c:pt idx="16">
                  <c:v>0.90482705246601947</c:v>
                </c:pt>
                <c:pt idx="17">
                  <c:v>0.84432792550201519</c:v>
                </c:pt>
                <c:pt idx="18">
                  <c:v>0.77051324277578925</c:v>
                </c:pt>
                <c:pt idx="19">
                  <c:v>0.6845471059286885</c:v>
                </c:pt>
                <c:pt idx="20">
                  <c:v>0.58778525229247325</c:v>
                </c:pt>
                <c:pt idx="21">
                  <c:v>0.48175367410171521</c:v>
                </c:pt>
                <c:pt idx="22">
                  <c:v>0.36812455268467775</c:v>
                </c:pt>
                <c:pt idx="23">
                  <c:v>0.24868988716485482</c:v>
                </c:pt>
                <c:pt idx="24">
                  <c:v>0.12533323356430409</c:v>
                </c:pt>
                <c:pt idx="25">
                  <c:v>1.22514845490862E-16</c:v>
                </c:pt>
                <c:pt idx="26">
                  <c:v>-0.12533323356430429</c:v>
                </c:pt>
                <c:pt idx="27">
                  <c:v>-0.24868988716485502</c:v>
                </c:pt>
                <c:pt idx="28">
                  <c:v>-0.36812455268467792</c:v>
                </c:pt>
                <c:pt idx="29">
                  <c:v>-0.48175367410171538</c:v>
                </c:pt>
                <c:pt idx="30">
                  <c:v>-0.58778525229247336</c:v>
                </c:pt>
                <c:pt idx="31">
                  <c:v>-0.68454710592868873</c:v>
                </c:pt>
                <c:pt idx="32">
                  <c:v>-0.77051324277578936</c:v>
                </c:pt>
                <c:pt idx="33">
                  <c:v>-0.8443279255020153</c:v>
                </c:pt>
                <c:pt idx="34">
                  <c:v>-0.90482705246601935</c:v>
                </c:pt>
                <c:pt idx="35">
                  <c:v>-0.95105651629515353</c:v>
                </c:pt>
                <c:pt idx="36">
                  <c:v>-0.98228725072868872</c:v>
                </c:pt>
                <c:pt idx="37">
                  <c:v>-0.99802672842827156</c:v>
                </c:pt>
                <c:pt idx="38">
                  <c:v>-0.99802672842827156</c:v>
                </c:pt>
                <c:pt idx="39">
                  <c:v>-0.98228725072868861</c:v>
                </c:pt>
                <c:pt idx="40">
                  <c:v>-0.95105651629515364</c:v>
                </c:pt>
                <c:pt idx="41">
                  <c:v>-0.90482705246601958</c:v>
                </c:pt>
                <c:pt idx="42">
                  <c:v>-0.84432792550201496</c:v>
                </c:pt>
                <c:pt idx="43">
                  <c:v>-0.77051324277578903</c:v>
                </c:pt>
                <c:pt idx="44">
                  <c:v>-0.68454710592868828</c:v>
                </c:pt>
                <c:pt idx="45">
                  <c:v>-0.58778525229247336</c:v>
                </c:pt>
                <c:pt idx="46">
                  <c:v>-0.48175367410171532</c:v>
                </c:pt>
                <c:pt idx="47">
                  <c:v>-0.36812455268467786</c:v>
                </c:pt>
                <c:pt idx="48">
                  <c:v>-0.24868988716485449</c:v>
                </c:pt>
                <c:pt idx="49">
                  <c:v>-0.12533323356430379</c:v>
                </c:pt>
                <c:pt idx="50">
                  <c:v>-2.45029690981724E-16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0-426F-900D-366B1AC14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820752"/>
        <c:axId val="2060821712"/>
      </c:lineChart>
      <c:catAx>
        <c:axId val="206082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821712"/>
        <c:crosses val="autoZero"/>
        <c:auto val="1"/>
        <c:lblAlgn val="ctr"/>
        <c:lblOffset val="100"/>
        <c:noMultiLvlLbl val="0"/>
      </c:catAx>
      <c:valAx>
        <c:axId val="20608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8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Sheet2!$D$11:$D$61</c:f>
              <c:numCache>
                <c:formatCode>General</c:formatCode>
                <c:ptCount val="51"/>
                <c:pt idx="0">
                  <c:v>0</c:v>
                </c:pt>
                <c:pt idx="1">
                  <c:v>210.55983238803117</c:v>
                </c:pt>
                <c:pt idx="2">
                  <c:v>417.79901043695605</c:v>
                </c:pt>
                <c:pt idx="3">
                  <c:v>618.44924851025905</c:v>
                </c:pt>
                <c:pt idx="4">
                  <c:v>809.34617249088171</c:v>
                </c:pt>
                <c:pt idx="5">
                  <c:v>987.47922385135485</c:v>
                </c:pt>
                <c:pt idx="6">
                  <c:v>1150.039137960197</c:v>
                </c:pt>
                <c:pt idx="7">
                  <c:v>1294.462247863326</c:v>
                </c:pt>
                <c:pt idx="8">
                  <c:v>1418.4709148433853</c:v>
                </c:pt>
                <c:pt idx="9">
                  <c:v>1520.1094481429129</c:v>
                </c:pt>
                <c:pt idx="10">
                  <c:v>1597.7749473758579</c:v>
                </c:pt>
                <c:pt idx="11">
                  <c:v>1650.242581224197</c:v>
                </c:pt>
                <c:pt idx="12">
                  <c:v>1676.6849037594961</c:v>
                </c:pt>
                <c:pt idx="13">
                  <c:v>1676.6849037594961</c:v>
                </c:pt>
                <c:pt idx="14">
                  <c:v>1650.242581224197</c:v>
                </c:pt>
                <c:pt idx="15">
                  <c:v>1597.7749473758579</c:v>
                </c:pt>
                <c:pt idx="16">
                  <c:v>1520.1094481429127</c:v>
                </c:pt>
                <c:pt idx="17">
                  <c:v>1418.4709148433856</c:v>
                </c:pt>
                <c:pt idx="18">
                  <c:v>1294.462247863326</c:v>
                </c:pt>
                <c:pt idx="19">
                  <c:v>1150.0391379601967</c:v>
                </c:pt>
                <c:pt idx="20">
                  <c:v>987.47922385135507</c:v>
                </c:pt>
                <c:pt idx="21">
                  <c:v>809.3461724908816</c:v>
                </c:pt>
                <c:pt idx="22">
                  <c:v>618.4492485102586</c:v>
                </c:pt>
                <c:pt idx="23">
                  <c:v>417.79901043695611</c:v>
                </c:pt>
                <c:pt idx="24">
                  <c:v>210.55983238803088</c:v>
                </c:pt>
                <c:pt idx="25">
                  <c:v>2.0582494042464816E-13</c:v>
                </c:pt>
                <c:pt idx="26">
                  <c:v>-210.5598323880312</c:v>
                </c:pt>
                <c:pt idx="27">
                  <c:v>-417.79901043695645</c:v>
                </c:pt>
                <c:pt idx="28">
                  <c:v>-618.44924851025894</c:v>
                </c:pt>
                <c:pt idx="29">
                  <c:v>-809.34617249088183</c:v>
                </c:pt>
                <c:pt idx="30">
                  <c:v>-987.4792238513553</c:v>
                </c:pt>
                <c:pt idx="31">
                  <c:v>-1150.039137960197</c:v>
                </c:pt>
                <c:pt idx="32">
                  <c:v>-1294.4622478633262</c:v>
                </c:pt>
                <c:pt idx="33">
                  <c:v>-1418.4709148433858</c:v>
                </c:pt>
                <c:pt idx="34">
                  <c:v>-1520.1094481429125</c:v>
                </c:pt>
                <c:pt idx="35">
                  <c:v>-1597.7749473758579</c:v>
                </c:pt>
                <c:pt idx="36">
                  <c:v>-1650.242581224197</c:v>
                </c:pt>
                <c:pt idx="37">
                  <c:v>-1676.6849037594961</c:v>
                </c:pt>
                <c:pt idx="38">
                  <c:v>-1676.6849037594961</c:v>
                </c:pt>
                <c:pt idx="39">
                  <c:v>-1650.2425812241968</c:v>
                </c:pt>
                <c:pt idx="40">
                  <c:v>-1597.7749473758581</c:v>
                </c:pt>
                <c:pt idx="41">
                  <c:v>-1520.1094481429129</c:v>
                </c:pt>
                <c:pt idx="42">
                  <c:v>-1418.4709148433851</c:v>
                </c:pt>
                <c:pt idx="43">
                  <c:v>-1294.4622478633255</c:v>
                </c:pt>
                <c:pt idx="44">
                  <c:v>-1150.0391379601963</c:v>
                </c:pt>
                <c:pt idx="45">
                  <c:v>-987.4792238513553</c:v>
                </c:pt>
                <c:pt idx="46">
                  <c:v>-809.34617249088171</c:v>
                </c:pt>
                <c:pt idx="47">
                  <c:v>-618.44924851025883</c:v>
                </c:pt>
                <c:pt idx="48">
                  <c:v>-417.79901043695554</c:v>
                </c:pt>
                <c:pt idx="49">
                  <c:v>-210.55983238803037</c:v>
                </c:pt>
                <c:pt idx="50">
                  <c:v>-4.1164988084929632E-13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B-4285-8868-B607DA5E8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336576"/>
        <c:axId val="230338496"/>
      </c:barChart>
      <c:catAx>
        <c:axId val="23033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338496"/>
        <c:crosses val="autoZero"/>
        <c:auto val="1"/>
        <c:lblAlgn val="ctr"/>
        <c:lblOffset val="100"/>
        <c:noMultiLvlLbl val="0"/>
      </c:catAx>
      <c:valAx>
        <c:axId val="2303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33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12</xdr:row>
      <xdr:rowOff>109537</xdr:rowOff>
    </xdr:from>
    <xdr:to>
      <xdr:col>17</xdr:col>
      <xdr:colOff>457200</xdr:colOff>
      <xdr:row>26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B1D6A4-1918-4F73-E75E-6EEE5800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5</xdr:row>
      <xdr:rowOff>71437</xdr:rowOff>
    </xdr:from>
    <xdr:to>
      <xdr:col>18</xdr:col>
      <xdr:colOff>476250</xdr:colOff>
      <xdr:row>21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78FB3-D544-60D1-98C0-EBF450CD2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238125</xdr:colOff>
      <xdr:row>23</xdr:row>
      <xdr:rowOff>138112</xdr:rowOff>
    </xdr:from>
    <xdr:to>
      <xdr:col>18</xdr:col>
      <xdr:colOff>542925</xdr:colOff>
      <xdr:row>38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9AC6BF-6C3C-0BD1-8B08-36F2FFEBE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4A81-4AE1-472A-8633-0568B8263C8E}">
  <dimension ref="A1:F36"/>
  <sheetViews>
    <sheetView zoomScaleNormal="100" workbookViewId="0">
      <selection activeCell="E1" sqref="E1"/>
    </sheetView>
  </sheetViews>
  <sheetFormatPr defaultRowHeight="15" x14ac:dyDescent="0.25"/>
  <cols>
    <col min="2" max="2" width="14.85546875" customWidth="1"/>
  </cols>
  <sheetData>
    <row r="1" spans="1:5" x14ac:dyDescent="0.25">
      <c r="A1" t="s">
        <v>0</v>
      </c>
      <c r="B1">
        <v>25000</v>
      </c>
      <c r="D1" t="s">
        <v>8</v>
      </c>
      <c r="E1">
        <f>84000000/B1</f>
        <v>3360</v>
      </c>
    </row>
    <row r="2" spans="1:5" x14ac:dyDescent="0.25">
      <c r="A2" t="s">
        <v>1</v>
      </c>
      <c r="B2">
        <v>50</v>
      </c>
      <c r="D2" t="s">
        <v>10</v>
      </c>
      <c r="E2">
        <f>1/B2</f>
        <v>0.02</v>
      </c>
    </row>
    <row r="5" spans="1:5" x14ac:dyDescent="0.25">
      <c r="A5" t="s">
        <v>2</v>
      </c>
      <c r="B5">
        <f>B1/B2</f>
        <v>500</v>
      </c>
    </row>
    <row r="7" spans="1:5" x14ac:dyDescent="0.25">
      <c r="A7" t="s">
        <v>3</v>
      </c>
      <c r="B7">
        <f>2*PI() / B5</f>
        <v>1.2566370614359173E-2</v>
      </c>
    </row>
    <row r="8" spans="1:5" x14ac:dyDescent="0.25">
      <c r="B8" t="s">
        <v>5</v>
      </c>
      <c r="C8" t="s">
        <v>4</v>
      </c>
      <c r="E8" t="s">
        <v>9</v>
      </c>
    </row>
    <row r="9" spans="1:5" x14ac:dyDescent="0.25">
      <c r="A9">
        <v>0</v>
      </c>
      <c r="B9">
        <f>$B$7*A9</f>
        <v>0</v>
      </c>
      <c r="C9">
        <f>SIN(B9)</f>
        <v>0</v>
      </c>
      <c r="E9">
        <f>$E$1*C9</f>
        <v>0</v>
      </c>
    </row>
    <row r="10" spans="1:5" x14ac:dyDescent="0.25">
      <c r="A10">
        <v>20</v>
      </c>
      <c r="B10">
        <f>$B$7*A10</f>
        <v>0.25132741228718347</v>
      </c>
      <c r="C10">
        <f>SIN(B10)</f>
        <v>0.24868988716485479</v>
      </c>
      <c r="E10">
        <f t="shared" ref="E10:E34" si="0">$E$1*C10</f>
        <v>835.59802087391211</v>
      </c>
    </row>
    <row r="11" spans="1:5" x14ac:dyDescent="0.25">
      <c r="A11">
        <v>40</v>
      </c>
      <c r="B11">
        <f t="shared" ref="B10:B34" si="1">$B$7*A11</f>
        <v>0.50265482457436694</v>
      </c>
      <c r="C11">
        <f t="shared" ref="C10:C34" si="2">SIN(B11)</f>
        <v>0.48175367410171532</v>
      </c>
      <c r="E11">
        <f t="shared" si="0"/>
        <v>1618.6923449817634</v>
      </c>
    </row>
    <row r="12" spans="1:5" x14ac:dyDescent="0.25">
      <c r="A12">
        <v>60</v>
      </c>
      <c r="B12">
        <f t="shared" si="1"/>
        <v>0.75398223686155041</v>
      </c>
      <c r="C12">
        <f>SIN(B12)</f>
        <v>0.68454710592868873</v>
      </c>
      <c r="E12">
        <f t="shared" si="0"/>
        <v>2300.0782759203939</v>
      </c>
    </row>
    <row r="13" spans="1:5" x14ac:dyDescent="0.25">
      <c r="A13">
        <v>80</v>
      </c>
      <c r="B13">
        <f t="shared" si="1"/>
        <v>1.0053096491487339</v>
      </c>
      <c r="C13">
        <f t="shared" si="2"/>
        <v>0.84432792550201508</v>
      </c>
      <c r="E13">
        <f t="shared" si="0"/>
        <v>2836.9418296867707</v>
      </c>
    </row>
    <row r="14" spans="1:5" x14ac:dyDescent="0.25">
      <c r="A14">
        <v>100</v>
      </c>
      <c r="B14">
        <f t="shared" si="1"/>
        <v>1.2566370614359172</v>
      </c>
      <c r="C14">
        <f t="shared" si="2"/>
        <v>0.95105651629515353</v>
      </c>
      <c r="E14">
        <f t="shared" si="0"/>
        <v>3195.5498947517158</v>
      </c>
    </row>
    <row r="15" spans="1:5" x14ac:dyDescent="0.25">
      <c r="A15">
        <v>120</v>
      </c>
      <c r="B15">
        <f t="shared" si="1"/>
        <v>1.5079644737231008</v>
      </c>
      <c r="C15">
        <f t="shared" si="2"/>
        <v>0.99802672842827156</v>
      </c>
      <c r="E15">
        <f t="shared" si="0"/>
        <v>3353.3698075189923</v>
      </c>
    </row>
    <row r="16" spans="1:5" x14ac:dyDescent="0.25">
      <c r="A16">
        <v>140</v>
      </c>
      <c r="B16">
        <f t="shared" si="1"/>
        <v>1.7592918860102842</v>
      </c>
      <c r="C16">
        <f t="shared" si="2"/>
        <v>0.98228725072868872</v>
      </c>
      <c r="E16">
        <f t="shared" si="0"/>
        <v>3300.485162448394</v>
      </c>
    </row>
    <row r="17" spans="1:6" x14ac:dyDescent="0.25">
      <c r="A17">
        <v>160</v>
      </c>
      <c r="B17">
        <f t="shared" si="1"/>
        <v>2.0106192982974678</v>
      </c>
      <c r="C17">
        <f t="shared" si="2"/>
        <v>0.90482705246601947</v>
      </c>
      <c r="E17">
        <f t="shared" si="0"/>
        <v>3040.2188962858254</v>
      </c>
    </row>
    <row r="18" spans="1:6" x14ac:dyDescent="0.25">
      <c r="A18">
        <v>180</v>
      </c>
      <c r="B18">
        <f t="shared" si="1"/>
        <v>2.2619467105846511</v>
      </c>
      <c r="C18">
        <f t="shared" si="2"/>
        <v>0.77051324277578925</v>
      </c>
      <c r="E18">
        <f t="shared" si="0"/>
        <v>2588.9244957266519</v>
      </c>
    </row>
    <row r="19" spans="1:6" x14ac:dyDescent="0.25">
      <c r="A19">
        <v>200</v>
      </c>
      <c r="B19">
        <f t="shared" si="1"/>
        <v>2.5132741228718345</v>
      </c>
      <c r="C19">
        <f t="shared" si="2"/>
        <v>0.58778525229247325</v>
      </c>
      <c r="E19">
        <f t="shared" si="0"/>
        <v>1974.9584477027101</v>
      </c>
    </row>
    <row r="20" spans="1:6" x14ac:dyDescent="0.25">
      <c r="A20">
        <v>220</v>
      </c>
      <c r="B20">
        <f t="shared" si="1"/>
        <v>2.7646015351590183</v>
      </c>
      <c r="C20">
        <f t="shared" si="2"/>
        <v>0.36812455268467775</v>
      </c>
      <c r="E20">
        <f t="shared" si="0"/>
        <v>1236.8984970205172</v>
      </c>
    </row>
    <row r="21" spans="1:6" x14ac:dyDescent="0.25">
      <c r="A21">
        <v>240</v>
      </c>
      <c r="B21">
        <f t="shared" si="1"/>
        <v>3.0159289474462017</v>
      </c>
      <c r="C21">
        <f t="shared" si="2"/>
        <v>0.12533323356430409</v>
      </c>
      <c r="D21" t="s">
        <v>6</v>
      </c>
      <c r="E21">
        <f t="shared" si="0"/>
        <v>421.11966477606177</v>
      </c>
    </row>
    <row r="22" spans="1:6" x14ac:dyDescent="0.25">
      <c r="A22">
        <v>260</v>
      </c>
      <c r="B22">
        <f t="shared" si="1"/>
        <v>3.267256359733385</v>
      </c>
      <c r="C22">
        <f t="shared" si="2"/>
        <v>-0.12533323356430429</v>
      </c>
      <c r="D22">
        <f>B7 * 250</f>
        <v>3.1415926535897931</v>
      </c>
      <c r="E22">
        <f t="shared" si="0"/>
        <v>-421.11966477606239</v>
      </c>
      <c r="F22">
        <f>250*D22</f>
        <v>785.39816339744823</v>
      </c>
    </row>
    <row r="23" spans="1:6" x14ac:dyDescent="0.25">
      <c r="A23">
        <v>280</v>
      </c>
      <c r="B23">
        <f t="shared" si="1"/>
        <v>3.5185837720205684</v>
      </c>
      <c r="C23">
        <f t="shared" si="2"/>
        <v>-0.36812455268467792</v>
      </c>
      <c r="E23">
        <f t="shared" si="0"/>
        <v>-1236.8984970205179</v>
      </c>
    </row>
    <row r="24" spans="1:6" x14ac:dyDescent="0.25">
      <c r="A24">
        <v>300</v>
      </c>
      <c r="B24">
        <f t="shared" si="1"/>
        <v>3.7699111843077522</v>
      </c>
      <c r="C24">
        <f t="shared" si="2"/>
        <v>-0.58778525229247336</v>
      </c>
      <c r="E24">
        <f t="shared" si="0"/>
        <v>-1974.9584477027106</v>
      </c>
    </row>
    <row r="25" spans="1:6" x14ac:dyDescent="0.25">
      <c r="A25">
        <v>320</v>
      </c>
      <c r="B25">
        <f t="shared" si="1"/>
        <v>4.0212385965949355</v>
      </c>
      <c r="C25">
        <f t="shared" si="2"/>
        <v>-0.77051324277578936</v>
      </c>
      <c r="E25">
        <f t="shared" si="0"/>
        <v>-2588.9244957266524</v>
      </c>
    </row>
    <row r="26" spans="1:6" x14ac:dyDescent="0.25">
      <c r="A26">
        <v>340</v>
      </c>
      <c r="B26">
        <f t="shared" si="1"/>
        <v>4.2725660088821185</v>
      </c>
      <c r="C26">
        <f t="shared" si="2"/>
        <v>-0.90482705246601935</v>
      </c>
      <c r="E26">
        <f t="shared" si="0"/>
        <v>-3040.2188962858249</v>
      </c>
    </row>
    <row r="27" spans="1:6" x14ac:dyDescent="0.25">
      <c r="A27">
        <v>360</v>
      </c>
      <c r="B27">
        <f t="shared" si="1"/>
        <v>4.5238934211693023</v>
      </c>
      <c r="C27">
        <f t="shared" si="2"/>
        <v>-0.98228725072868872</v>
      </c>
      <c r="E27">
        <f t="shared" si="0"/>
        <v>-3300.485162448394</v>
      </c>
    </row>
    <row r="28" spans="1:6" x14ac:dyDescent="0.25">
      <c r="A28">
        <v>380</v>
      </c>
      <c r="B28">
        <f t="shared" si="1"/>
        <v>4.7752208334564861</v>
      </c>
      <c r="C28">
        <f t="shared" si="2"/>
        <v>-0.99802672842827156</v>
      </c>
      <c r="E28">
        <f t="shared" si="0"/>
        <v>-3353.3698075189923</v>
      </c>
    </row>
    <row r="29" spans="1:6" x14ac:dyDescent="0.25">
      <c r="A29">
        <v>400</v>
      </c>
      <c r="B29">
        <f t="shared" si="1"/>
        <v>5.026548245743669</v>
      </c>
      <c r="C29">
        <f t="shared" si="2"/>
        <v>-0.95105651629515364</v>
      </c>
      <c r="E29">
        <f t="shared" si="0"/>
        <v>-3195.5498947517162</v>
      </c>
    </row>
    <row r="30" spans="1:6" x14ac:dyDescent="0.25">
      <c r="A30">
        <v>420</v>
      </c>
      <c r="B30">
        <f t="shared" si="1"/>
        <v>5.2778756580308528</v>
      </c>
      <c r="C30">
        <f t="shared" si="2"/>
        <v>-0.84432792550201496</v>
      </c>
      <c r="E30">
        <f t="shared" si="0"/>
        <v>-2836.9418296867702</v>
      </c>
    </row>
    <row r="31" spans="1:6" x14ac:dyDescent="0.25">
      <c r="A31">
        <v>440</v>
      </c>
      <c r="B31">
        <f t="shared" si="1"/>
        <v>5.5292030703180366</v>
      </c>
      <c r="C31">
        <f t="shared" si="2"/>
        <v>-0.68454710592868828</v>
      </c>
      <c r="E31">
        <f t="shared" si="0"/>
        <v>-2300.0782759203926</v>
      </c>
    </row>
    <row r="32" spans="1:6" x14ac:dyDescent="0.25">
      <c r="A32">
        <v>460</v>
      </c>
      <c r="B32">
        <f t="shared" si="1"/>
        <v>5.7805304826052195</v>
      </c>
      <c r="C32">
        <f t="shared" si="2"/>
        <v>-0.48175367410171532</v>
      </c>
      <c r="E32">
        <f t="shared" si="0"/>
        <v>-1618.6923449817634</v>
      </c>
    </row>
    <row r="33" spans="1:5" x14ac:dyDescent="0.25">
      <c r="A33">
        <v>480</v>
      </c>
      <c r="B33">
        <f t="shared" si="1"/>
        <v>6.0318578948924033</v>
      </c>
      <c r="C33">
        <f t="shared" si="2"/>
        <v>-0.24868988716485449</v>
      </c>
      <c r="E33">
        <f t="shared" si="0"/>
        <v>-835.59802087391108</v>
      </c>
    </row>
    <row r="34" spans="1:5" x14ac:dyDescent="0.25">
      <c r="A34">
        <v>500</v>
      </c>
      <c r="B34">
        <f t="shared" si="1"/>
        <v>6.2831853071795862</v>
      </c>
      <c r="C34">
        <f t="shared" si="2"/>
        <v>-2.45029690981724E-16</v>
      </c>
      <c r="E34">
        <f t="shared" si="0"/>
        <v>-8.2329976169859265E-13</v>
      </c>
    </row>
    <row r="35" spans="1:5" x14ac:dyDescent="0.25">
      <c r="D35" t="s">
        <v>7</v>
      </c>
    </row>
    <row r="36" spans="1:5" x14ac:dyDescent="0.25">
      <c r="D36">
        <f>B7 * 500</f>
        <v>6.2831853071795862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2C75-0193-4B64-8386-85E0DF505522}">
  <dimension ref="A1:I61"/>
  <sheetViews>
    <sheetView tabSelected="1" workbookViewId="0">
      <selection activeCell="H16" sqref="H16"/>
    </sheetView>
  </sheetViews>
  <sheetFormatPr defaultRowHeight="15" x14ac:dyDescent="0.25"/>
  <cols>
    <col min="1" max="1" width="17.28515625" customWidth="1"/>
    <col min="2" max="2" width="15.42578125" customWidth="1"/>
    <col min="3" max="3" width="17.42578125" customWidth="1"/>
    <col min="7" max="7" width="17.7109375" customWidth="1"/>
    <col min="8" max="8" width="12" bestFit="1" customWidth="1"/>
  </cols>
  <sheetData>
    <row r="1" spans="1:9" x14ac:dyDescent="0.25">
      <c r="A1" t="s">
        <v>8</v>
      </c>
      <c r="B1">
        <f>84*10^6</f>
        <v>84000000</v>
      </c>
    </row>
    <row r="2" spans="1:9" x14ac:dyDescent="0.25">
      <c r="A2" t="s">
        <v>11</v>
      </c>
      <c r="B2">
        <v>25000</v>
      </c>
    </row>
    <row r="3" spans="1:9" x14ac:dyDescent="0.25">
      <c r="A3" t="s">
        <v>12</v>
      </c>
      <c r="B3">
        <v>50</v>
      </c>
    </row>
    <row r="4" spans="1:9" x14ac:dyDescent="0.25">
      <c r="A4" t="s">
        <v>14</v>
      </c>
      <c r="B4">
        <f>B1/B2/2</f>
        <v>1680</v>
      </c>
    </row>
    <row r="5" spans="1:9" x14ac:dyDescent="0.25">
      <c r="A5" t="s">
        <v>13</v>
      </c>
      <c r="B5">
        <f>B2/B3</f>
        <v>500</v>
      </c>
    </row>
    <row r="6" spans="1:9" x14ac:dyDescent="0.25">
      <c r="A6" t="s">
        <v>15</v>
      </c>
      <c r="B6">
        <f>2*PI()/B5</f>
        <v>1.2566370614359173E-2</v>
      </c>
    </row>
    <row r="10" spans="1:9" x14ac:dyDescent="0.25">
      <c r="A10" t="s">
        <v>16</v>
      </c>
      <c r="B10" t="s">
        <v>18</v>
      </c>
      <c r="C10" t="s">
        <v>17</v>
      </c>
      <c r="D10" t="s">
        <v>9</v>
      </c>
      <c r="G10" t="s">
        <v>22</v>
      </c>
      <c r="H10">
        <f>MAX(D11:D61)</f>
        <v>1676.6849037594961</v>
      </c>
      <c r="I10">
        <f>H10/B4</f>
        <v>0.99802672842827156</v>
      </c>
    </row>
    <row r="11" spans="1:9" x14ac:dyDescent="0.25">
      <c r="A11">
        <v>0</v>
      </c>
      <c r="B11">
        <f>$B$6*A11</f>
        <v>0</v>
      </c>
      <c r="C11">
        <f>SIN(B11)</f>
        <v>0</v>
      </c>
      <c r="D11">
        <f>$B$4*C11</f>
        <v>0</v>
      </c>
      <c r="G11" t="s">
        <v>23</v>
      </c>
      <c r="H11">
        <f>MIN(D11:D61)</f>
        <v>-1676.6849037594961</v>
      </c>
    </row>
    <row r="12" spans="1:9" x14ac:dyDescent="0.25">
      <c r="A12">
        <v>10</v>
      </c>
      <c r="B12">
        <f t="shared" ref="B12:B61" si="0">$B$6*A12</f>
        <v>0.12566370614359174</v>
      </c>
      <c r="C12">
        <f t="shared" ref="C12:C61" si="1">SIN(B12)</f>
        <v>0.12533323356430426</v>
      </c>
      <c r="D12">
        <f t="shared" ref="D12:D61" si="2">$B$4*C12</f>
        <v>210.55983238803117</v>
      </c>
    </row>
    <row r="13" spans="1:9" x14ac:dyDescent="0.25">
      <c r="A13">
        <v>20</v>
      </c>
      <c r="B13">
        <f t="shared" si="0"/>
        <v>0.25132741228718347</v>
      </c>
      <c r="C13">
        <f t="shared" si="1"/>
        <v>0.24868988716485479</v>
      </c>
      <c r="D13">
        <f t="shared" si="2"/>
        <v>417.79901043695605</v>
      </c>
      <c r="G13" t="s">
        <v>19</v>
      </c>
      <c r="H13">
        <f>B2</f>
        <v>25000</v>
      </c>
    </row>
    <row r="14" spans="1:9" x14ac:dyDescent="0.25">
      <c r="A14">
        <v>30</v>
      </c>
      <c r="B14">
        <f t="shared" si="0"/>
        <v>0.37699111843077521</v>
      </c>
      <c r="C14">
        <f t="shared" si="1"/>
        <v>0.36812455268467797</v>
      </c>
      <c r="D14">
        <f t="shared" si="2"/>
        <v>618.44924851025905</v>
      </c>
      <c r="G14" t="s">
        <v>21</v>
      </c>
      <c r="H14">
        <f>1/H13</f>
        <v>4.0000000000000003E-5</v>
      </c>
    </row>
    <row r="15" spans="1:9" x14ac:dyDescent="0.25">
      <c r="A15">
        <v>40</v>
      </c>
      <c r="B15">
        <f t="shared" si="0"/>
        <v>0.50265482457436694</v>
      </c>
      <c r="C15">
        <f t="shared" si="1"/>
        <v>0.48175367410171532</v>
      </c>
      <c r="D15">
        <f t="shared" si="2"/>
        <v>809.34617249088171</v>
      </c>
      <c r="G15" t="s">
        <v>24</v>
      </c>
      <c r="H15">
        <f>H14/B3</f>
        <v>8.0000000000000007E-7</v>
      </c>
      <c r="I15" t="s">
        <v>25</v>
      </c>
    </row>
    <row r="16" spans="1:9" x14ac:dyDescent="0.25">
      <c r="A16">
        <v>50</v>
      </c>
      <c r="B16">
        <f t="shared" si="0"/>
        <v>0.62831853071795862</v>
      </c>
      <c r="C16">
        <f t="shared" si="1"/>
        <v>0.58778525229247314</v>
      </c>
      <c r="D16">
        <f t="shared" si="2"/>
        <v>987.47922385135485</v>
      </c>
    </row>
    <row r="17" spans="1:8" x14ac:dyDescent="0.25">
      <c r="A17">
        <v>60</v>
      </c>
      <c r="B17">
        <f t="shared" si="0"/>
        <v>0.75398223686155041</v>
      </c>
      <c r="C17">
        <f t="shared" si="1"/>
        <v>0.68454710592868873</v>
      </c>
      <c r="D17">
        <f t="shared" si="2"/>
        <v>1150.039137960197</v>
      </c>
    </row>
    <row r="18" spans="1:8" x14ac:dyDescent="0.25">
      <c r="A18">
        <v>70</v>
      </c>
      <c r="B18">
        <f t="shared" si="0"/>
        <v>0.87964594300514209</v>
      </c>
      <c r="C18">
        <f t="shared" si="1"/>
        <v>0.77051324277578925</v>
      </c>
      <c r="D18">
        <f t="shared" si="2"/>
        <v>1294.462247863326</v>
      </c>
      <c r="G18" t="s">
        <v>20</v>
      </c>
      <c r="H18">
        <f>B3</f>
        <v>50</v>
      </c>
    </row>
    <row r="19" spans="1:8" x14ac:dyDescent="0.25">
      <c r="A19">
        <v>80</v>
      </c>
      <c r="B19">
        <f t="shared" si="0"/>
        <v>1.0053096491487339</v>
      </c>
      <c r="C19">
        <f t="shared" si="1"/>
        <v>0.84432792550201508</v>
      </c>
      <c r="D19">
        <f t="shared" si="2"/>
        <v>1418.4709148433853</v>
      </c>
      <c r="G19" t="s">
        <v>10</v>
      </c>
      <c r="H19">
        <f>1/H18</f>
        <v>0.02</v>
      </c>
    </row>
    <row r="20" spans="1:8" x14ac:dyDescent="0.25">
      <c r="A20">
        <v>90</v>
      </c>
      <c r="B20">
        <f t="shared" si="0"/>
        <v>1.1309733552923256</v>
      </c>
      <c r="C20">
        <f t="shared" si="1"/>
        <v>0.90482705246601958</v>
      </c>
      <c r="D20">
        <f t="shared" si="2"/>
        <v>1520.1094481429129</v>
      </c>
    </row>
    <row r="21" spans="1:8" x14ac:dyDescent="0.25">
      <c r="A21">
        <v>100</v>
      </c>
      <c r="B21">
        <f t="shared" si="0"/>
        <v>1.2566370614359172</v>
      </c>
      <c r="C21">
        <f t="shared" si="1"/>
        <v>0.95105651629515353</v>
      </c>
      <c r="D21">
        <f t="shared" si="2"/>
        <v>1597.7749473758579</v>
      </c>
    </row>
    <row r="22" spans="1:8" x14ac:dyDescent="0.25">
      <c r="A22">
        <v>110</v>
      </c>
      <c r="B22">
        <f t="shared" si="0"/>
        <v>1.3823007675795091</v>
      </c>
      <c r="C22">
        <f t="shared" si="1"/>
        <v>0.98228725072868872</v>
      </c>
      <c r="D22">
        <f t="shared" si="2"/>
        <v>1650.242581224197</v>
      </c>
    </row>
    <row r="23" spans="1:8" x14ac:dyDescent="0.25">
      <c r="A23">
        <v>120</v>
      </c>
      <c r="B23">
        <f t="shared" si="0"/>
        <v>1.5079644737231008</v>
      </c>
      <c r="C23">
        <f t="shared" si="1"/>
        <v>0.99802672842827156</v>
      </c>
      <c r="D23">
        <f t="shared" si="2"/>
        <v>1676.6849037594961</v>
      </c>
    </row>
    <row r="24" spans="1:8" x14ac:dyDescent="0.25">
      <c r="A24">
        <v>130</v>
      </c>
      <c r="B24">
        <f t="shared" si="0"/>
        <v>1.6336281798666925</v>
      </c>
      <c r="C24">
        <f t="shared" si="1"/>
        <v>0.99802672842827156</v>
      </c>
      <c r="D24">
        <f t="shared" si="2"/>
        <v>1676.6849037594961</v>
      </c>
    </row>
    <row r="25" spans="1:8" x14ac:dyDescent="0.25">
      <c r="A25">
        <v>140</v>
      </c>
      <c r="B25">
        <f t="shared" si="0"/>
        <v>1.7592918860102842</v>
      </c>
      <c r="C25">
        <f t="shared" si="1"/>
        <v>0.98228725072868872</v>
      </c>
      <c r="D25">
        <f t="shared" si="2"/>
        <v>1650.242581224197</v>
      </c>
    </row>
    <row r="26" spans="1:8" x14ac:dyDescent="0.25">
      <c r="A26">
        <v>150</v>
      </c>
      <c r="B26">
        <f t="shared" si="0"/>
        <v>1.8849555921538761</v>
      </c>
      <c r="C26">
        <f t="shared" si="1"/>
        <v>0.95105651629515353</v>
      </c>
      <c r="D26">
        <f t="shared" si="2"/>
        <v>1597.7749473758579</v>
      </c>
    </row>
    <row r="27" spans="1:8" x14ac:dyDescent="0.25">
      <c r="A27">
        <v>160</v>
      </c>
      <c r="B27">
        <f t="shared" si="0"/>
        <v>2.0106192982974678</v>
      </c>
      <c r="C27">
        <f t="shared" si="1"/>
        <v>0.90482705246601947</v>
      </c>
      <c r="D27">
        <f t="shared" si="2"/>
        <v>1520.1094481429127</v>
      </c>
    </row>
    <row r="28" spans="1:8" x14ac:dyDescent="0.25">
      <c r="A28">
        <v>170</v>
      </c>
      <c r="B28">
        <f t="shared" si="0"/>
        <v>2.1362830044410592</v>
      </c>
      <c r="C28">
        <f t="shared" si="1"/>
        <v>0.84432792550201519</v>
      </c>
      <c r="D28">
        <f t="shared" si="2"/>
        <v>1418.4709148433856</v>
      </c>
    </row>
    <row r="29" spans="1:8" x14ac:dyDescent="0.25">
      <c r="A29">
        <v>180</v>
      </c>
      <c r="B29">
        <f t="shared" si="0"/>
        <v>2.2619467105846511</v>
      </c>
      <c r="C29">
        <f t="shared" si="1"/>
        <v>0.77051324277578925</v>
      </c>
      <c r="D29">
        <f t="shared" si="2"/>
        <v>1294.462247863326</v>
      </c>
    </row>
    <row r="30" spans="1:8" x14ac:dyDescent="0.25">
      <c r="A30">
        <v>190</v>
      </c>
      <c r="B30">
        <f t="shared" si="0"/>
        <v>2.387610416728243</v>
      </c>
      <c r="C30">
        <f t="shared" si="1"/>
        <v>0.6845471059286885</v>
      </c>
      <c r="D30">
        <f t="shared" si="2"/>
        <v>1150.0391379601967</v>
      </c>
    </row>
    <row r="31" spans="1:8" x14ac:dyDescent="0.25">
      <c r="A31">
        <v>200</v>
      </c>
      <c r="B31">
        <f t="shared" si="0"/>
        <v>2.5132741228718345</v>
      </c>
      <c r="C31">
        <f t="shared" si="1"/>
        <v>0.58778525229247325</v>
      </c>
      <c r="D31">
        <f t="shared" si="2"/>
        <v>987.47922385135507</v>
      </c>
    </row>
    <row r="32" spans="1:8" x14ac:dyDescent="0.25">
      <c r="A32">
        <v>210</v>
      </c>
      <c r="B32">
        <f t="shared" si="0"/>
        <v>2.6389378290154264</v>
      </c>
      <c r="C32">
        <f t="shared" si="1"/>
        <v>0.48175367410171521</v>
      </c>
      <c r="D32">
        <f t="shared" si="2"/>
        <v>809.3461724908816</v>
      </c>
    </row>
    <row r="33" spans="1:4" x14ac:dyDescent="0.25">
      <c r="A33">
        <v>220</v>
      </c>
      <c r="B33">
        <f t="shared" si="0"/>
        <v>2.7646015351590183</v>
      </c>
      <c r="C33">
        <f t="shared" si="1"/>
        <v>0.36812455268467775</v>
      </c>
      <c r="D33">
        <f t="shared" si="2"/>
        <v>618.4492485102586</v>
      </c>
    </row>
    <row r="34" spans="1:4" x14ac:dyDescent="0.25">
      <c r="A34">
        <v>230</v>
      </c>
      <c r="B34">
        <f t="shared" si="0"/>
        <v>2.8902652413026098</v>
      </c>
      <c r="C34">
        <f t="shared" si="1"/>
        <v>0.24868988716485482</v>
      </c>
      <c r="D34">
        <f t="shared" si="2"/>
        <v>417.79901043695611</v>
      </c>
    </row>
    <row r="35" spans="1:4" x14ac:dyDescent="0.25">
      <c r="A35">
        <v>240</v>
      </c>
      <c r="B35">
        <f t="shared" si="0"/>
        <v>3.0159289474462017</v>
      </c>
      <c r="C35">
        <f t="shared" si="1"/>
        <v>0.12533323356430409</v>
      </c>
      <c r="D35">
        <f t="shared" si="2"/>
        <v>210.55983238803088</v>
      </c>
    </row>
    <row r="36" spans="1:4" x14ac:dyDescent="0.25">
      <c r="A36">
        <v>250</v>
      </c>
      <c r="B36">
        <f t="shared" si="0"/>
        <v>3.1415926535897931</v>
      </c>
      <c r="C36">
        <f t="shared" si="1"/>
        <v>1.22514845490862E-16</v>
      </c>
      <c r="D36">
        <f t="shared" si="2"/>
        <v>2.0582494042464816E-13</v>
      </c>
    </row>
    <row r="37" spans="1:4" x14ac:dyDescent="0.25">
      <c r="A37">
        <v>260</v>
      </c>
      <c r="B37">
        <f t="shared" si="0"/>
        <v>3.267256359733385</v>
      </c>
      <c r="C37">
        <f t="shared" si="1"/>
        <v>-0.12533323356430429</v>
      </c>
      <c r="D37">
        <f t="shared" si="2"/>
        <v>-210.5598323880312</v>
      </c>
    </row>
    <row r="38" spans="1:4" x14ac:dyDescent="0.25">
      <c r="A38">
        <v>270</v>
      </c>
      <c r="B38">
        <f t="shared" si="0"/>
        <v>3.3929200658769769</v>
      </c>
      <c r="C38">
        <f t="shared" si="1"/>
        <v>-0.24868988716485502</v>
      </c>
      <c r="D38">
        <f t="shared" si="2"/>
        <v>-417.79901043695645</v>
      </c>
    </row>
    <row r="39" spans="1:4" x14ac:dyDescent="0.25">
      <c r="A39">
        <v>280</v>
      </c>
      <c r="B39">
        <f t="shared" si="0"/>
        <v>3.5185837720205684</v>
      </c>
      <c r="C39">
        <f t="shared" si="1"/>
        <v>-0.36812455268467792</v>
      </c>
      <c r="D39">
        <f t="shared" si="2"/>
        <v>-618.44924851025894</v>
      </c>
    </row>
    <row r="40" spans="1:4" x14ac:dyDescent="0.25">
      <c r="A40">
        <v>290</v>
      </c>
      <c r="B40">
        <f t="shared" si="0"/>
        <v>3.6442474781641603</v>
      </c>
      <c r="C40">
        <f t="shared" si="1"/>
        <v>-0.48175367410171538</v>
      </c>
      <c r="D40">
        <f t="shared" si="2"/>
        <v>-809.34617249088183</v>
      </c>
    </row>
    <row r="41" spans="1:4" x14ac:dyDescent="0.25">
      <c r="A41">
        <v>300</v>
      </c>
      <c r="B41">
        <f t="shared" si="0"/>
        <v>3.7699111843077522</v>
      </c>
      <c r="C41">
        <f t="shared" si="1"/>
        <v>-0.58778525229247336</v>
      </c>
      <c r="D41">
        <f t="shared" si="2"/>
        <v>-987.4792238513553</v>
      </c>
    </row>
    <row r="42" spans="1:4" x14ac:dyDescent="0.25">
      <c r="A42">
        <v>310</v>
      </c>
      <c r="B42">
        <f t="shared" si="0"/>
        <v>3.8955748904513436</v>
      </c>
      <c r="C42">
        <f t="shared" si="1"/>
        <v>-0.68454710592868873</v>
      </c>
      <c r="D42">
        <f t="shared" si="2"/>
        <v>-1150.039137960197</v>
      </c>
    </row>
    <row r="43" spans="1:4" x14ac:dyDescent="0.25">
      <c r="A43">
        <v>320</v>
      </c>
      <c r="B43">
        <f t="shared" si="0"/>
        <v>4.0212385965949355</v>
      </c>
      <c r="C43">
        <f t="shared" si="1"/>
        <v>-0.77051324277578936</v>
      </c>
      <c r="D43">
        <f t="shared" si="2"/>
        <v>-1294.4622478633262</v>
      </c>
    </row>
    <row r="44" spans="1:4" x14ac:dyDescent="0.25">
      <c r="A44">
        <v>330</v>
      </c>
      <c r="B44">
        <f t="shared" si="0"/>
        <v>4.1469023027385274</v>
      </c>
      <c r="C44">
        <f t="shared" si="1"/>
        <v>-0.8443279255020153</v>
      </c>
      <c r="D44">
        <f t="shared" si="2"/>
        <v>-1418.4709148433858</v>
      </c>
    </row>
    <row r="45" spans="1:4" x14ac:dyDescent="0.25">
      <c r="A45">
        <v>340</v>
      </c>
      <c r="B45">
        <f t="shared" si="0"/>
        <v>4.2725660088821185</v>
      </c>
      <c r="C45">
        <f t="shared" si="1"/>
        <v>-0.90482705246601935</v>
      </c>
      <c r="D45">
        <f t="shared" si="2"/>
        <v>-1520.1094481429125</v>
      </c>
    </row>
    <row r="46" spans="1:4" x14ac:dyDescent="0.25">
      <c r="A46">
        <v>350</v>
      </c>
      <c r="B46">
        <f t="shared" si="0"/>
        <v>4.3982297150257104</v>
      </c>
      <c r="C46">
        <f t="shared" si="1"/>
        <v>-0.95105651629515353</v>
      </c>
      <c r="D46">
        <f t="shared" si="2"/>
        <v>-1597.7749473758579</v>
      </c>
    </row>
    <row r="47" spans="1:4" x14ac:dyDescent="0.25">
      <c r="A47">
        <v>360</v>
      </c>
      <c r="B47">
        <f t="shared" si="0"/>
        <v>4.5238934211693023</v>
      </c>
      <c r="C47">
        <f t="shared" si="1"/>
        <v>-0.98228725072868872</v>
      </c>
      <c r="D47">
        <f t="shared" si="2"/>
        <v>-1650.242581224197</v>
      </c>
    </row>
    <row r="48" spans="1:4" x14ac:dyDescent="0.25">
      <c r="A48">
        <v>370</v>
      </c>
      <c r="B48">
        <f t="shared" si="0"/>
        <v>4.6495571273128942</v>
      </c>
      <c r="C48">
        <f t="shared" si="1"/>
        <v>-0.99802672842827156</v>
      </c>
      <c r="D48">
        <f t="shared" si="2"/>
        <v>-1676.6849037594961</v>
      </c>
    </row>
    <row r="49" spans="1:4" x14ac:dyDescent="0.25">
      <c r="A49">
        <v>380</v>
      </c>
      <c r="B49">
        <f t="shared" si="0"/>
        <v>4.7752208334564861</v>
      </c>
      <c r="C49">
        <f t="shared" si="1"/>
        <v>-0.99802672842827156</v>
      </c>
      <c r="D49">
        <f t="shared" si="2"/>
        <v>-1676.6849037594961</v>
      </c>
    </row>
    <row r="50" spans="1:4" x14ac:dyDescent="0.25">
      <c r="A50">
        <v>390</v>
      </c>
      <c r="B50">
        <f t="shared" si="0"/>
        <v>4.900884539600078</v>
      </c>
      <c r="C50">
        <f t="shared" si="1"/>
        <v>-0.98228725072868861</v>
      </c>
      <c r="D50">
        <f t="shared" si="2"/>
        <v>-1650.2425812241968</v>
      </c>
    </row>
    <row r="51" spans="1:4" x14ac:dyDescent="0.25">
      <c r="A51">
        <v>400</v>
      </c>
      <c r="B51">
        <f t="shared" si="0"/>
        <v>5.026548245743669</v>
      </c>
      <c r="C51">
        <f t="shared" si="1"/>
        <v>-0.95105651629515364</v>
      </c>
      <c r="D51">
        <f t="shared" si="2"/>
        <v>-1597.7749473758581</v>
      </c>
    </row>
    <row r="52" spans="1:4" x14ac:dyDescent="0.25">
      <c r="A52">
        <v>410</v>
      </c>
      <c r="B52">
        <f t="shared" si="0"/>
        <v>5.1522119518872609</v>
      </c>
      <c r="C52">
        <f t="shared" si="1"/>
        <v>-0.90482705246601958</v>
      </c>
      <c r="D52">
        <f t="shared" si="2"/>
        <v>-1520.1094481429129</v>
      </c>
    </row>
    <row r="53" spans="1:4" x14ac:dyDescent="0.25">
      <c r="A53">
        <v>420</v>
      </c>
      <c r="B53">
        <f t="shared" si="0"/>
        <v>5.2778756580308528</v>
      </c>
      <c r="C53">
        <f t="shared" si="1"/>
        <v>-0.84432792550201496</v>
      </c>
      <c r="D53">
        <f t="shared" si="2"/>
        <v>-1418.4709148433851</v>
      </c>
    </row>
    <row r="54" spans="1:4" x14ac:dyDescent="0.25">
      <c r="A54">
        <v>430</v>
      </c>
      <c r="B54">
        <f t="shared" si="0"/>
        <v>5.4035393641744447</v>
      </c>
      <c r="C54">
        <f t="shared" si="1"/>
        <v>-0.77051324277578903</v>
      </c>
      <c r="D54">
        <f t="shared" si="2"/>
        <v>-1294.4622478633255</v>
      </c>
    </row>
    <row r="55" spans="1:4" x14ac:dyDescent="0.25">
      <c r="A55">
        <v>440</v>
      </c>
      <c r="B55">
        <f t="shared" si="0"/>
        <v>5.5292030703180366</v>
      </c>
      <c r="C55">
        <f t="shared" si="1"/>
        <v>-0.68454710592868828</v>
      </c>
      <c r="D55">
        <f t="shared" si="2"/>
        <v>-1150.0391379601963</v>
      </c>
    </row>
    <row r="56" spans="1:4" x14ac:dyDescent="0.25">
      <c r="A56">
        <v>450</v>
      </c>
      <c r="B56">
        <f t="shared" si="0"/>
        <v>5.6548667764616276</v>
      </c>
      <c r="C56">
        <f t="shared" si="1"/>
        <v>-0.58778525229247336</v>
      </c>
      <c r="D56">
        <f t="shared" si="2"/>
        <v>-987.4792238513553</v>
      </c>
    </row>
    <row r="57" spans="1:4" x14ac:dyDescent="0.25">
      <c r="A57">
        <v>460</v>
      </c>
      <c r="B57">
        <f t="shared" si="0"/>
        <v>5.7805304826052195</v>
      </c>
      <c r="C57">
        <f t="shared" si="1"/>
        <v>-0.48175367410171532</v>
      </c>
      <c r="D57">
        <f t="shared" si="2"/>
        <v>-809.34617249088171</v>
      </c>
    </row>
    <row r="58" spans="1:4" x14ac:dyDescent="0.25">
      <c r="A58">
        <v>470</v>
      </c>
      <c r="B58">
        <f t="shared" si="0"/>
        <v>5.9061941887488114</v>
      </c>
      <c r="C58">
        <f t="shared" si="1"/>
        <v>-0.36812455268467786</v>
      </c>
      <c r="D58">
        <f t="shared" si="2"/>
        <v>-618.44924851025883</v>
      </c>
    </row>
    <row r="59" spans="1:4" x14ac:dyDescent="0.25">
      <c r="A59">
        <v>480</v>
      </c>
      <c r="B59">
        <f t="shared" si="0"/>
        <v>6.0318578948924033</v>
      </c>
      <c r="C59">
        <f t="shared" si="1"/>
        <v>-0.24868988716485449</v>
      </c>
      <c r="D59">
        <f t="shared" si="2"/>
        <v>-417.79901043695554</v>
      </c>
    </row>
    <row r="60" spans="1:4" x14ac:dyDescent="0.25">
      <c r="A60">
        <v>490</v>
      </c>
      <c r="B60">
        <f t="shared" si="0"/>
        <v>6.1575216010359952</v>
      </c>
      <c r="C60">
        <f t="shared" si="1"/>
        <v>-0.12533323356430379</v>
      </c>
      <c r="D60">
        <f t="shared" si="2"/>
        <v>-210.55983238803037</v>
      </c>
    </row>
    <row r="61" spans="1:4" x14ac:dyDescent="0.25">
      <c r="A61">
        <v>500</v>
      </c>
      <c r="B61">
        <f t="shared" si="0"/>
        <v>6.2831853071795862</v>
      </c>
      <c r="C61">
        <f t="shared" si="1"/>
        <v>-2.45029690981724E-16</v>
      </c>
      <c r="D61">
        <f t="shared" si="2"/>
        <v>-4.1164988084929632E-13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Bramantara</dc:creator>
  <cp:lastModifiedBy>Nino Bramantara</cp:lastModifiedBy>
  <dcterms:created xsi:type="dcterms:W3CDTF">2026-02-17T06:16:07Z</dcterms:created>
  <dcterms:modified xsi:type="dcterms:W3CDTF">2026-02-17T17:19:45Z</dcterms:modified>
</cp:coreProperties>
</file>